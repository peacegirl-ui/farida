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LAPPY\Documents\"/>
    </mc:Choice>
  </mc:AlternateContent>
  <xr:revisionPtr revIDLastSave="0" documentId="13_ncr:1_{31A31CC4-3412-44F2-A648-74ED2AC227E6}" xr6:coauthVersionLast="47" xr6:coauthVersionMax="47" xr10:uidLastSave="{00000000-0000-0000-0000-000000000000}"/>
  <bookViews>
    <workbookView xWindow="-120" yWindow="-120" windowWidth="20730" windowHeight="11160" xr2:uid="{5A0F1431-9121-4756-B57C-77B19728922D}"/>
  </bookViews>
  <sheets>
    <sheet name="STUDENTS " sheetId="1" r:id="rId1"/>
    <sheet name="SALES" sheetId="2" r:id="rId2"/>
    <sheet name="EMPLOYE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" i="1" l="1"/>
  <c r="K24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" i="1"/>
  <c r="K2" i="3"/>
  <c r="K10" i="3"/>
  <c r="J7" i="3"/>
  <c r="J4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" i="3"/>
  <c r="J19" i="1"/>
  <c r="J15" i="1"/>
  <c r="J10" i="1"/>
  <c r="J5" i="1"/>
  <c r="H8" i="2"/>
  <c r="H3" i="2"/>
  <c r="H11" i="2"/>
</calcChain>
</file>

<file path=xl/sharedStrings.xml><?xml version="1.0" encoding="utf-8"?>
<sst xmlns="http://schemas.openxmlformats.org/spreadsheetml/2006/main" count="165" uniqueCount="115">
  <si>
    <t>Student ID</t>
  </si>
  <si>
    <t>Name</t>
  </si>
  <si>
    <t>Math</t>
  </si>
  <si>
    <t>Science</t>
  </si>
  <si>
    <t>English</t>
  </si>
  <si>
    <t>Enrollment Date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</si>
  <si>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</si>
  <si>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</si>
  <si>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</si>
  <si>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</si>
  <si>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</si>
  <si>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</si>
  <si>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</si>
  <si>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</si>
  <si>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</si>
  <si>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</si>
  <si>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</si>
  <si>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</si>
  <si>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</si>
  <si>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</si>
  <si>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</si>
  <si>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</si>
  <si>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</si>
  <si>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</si>
  <si>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</si>
  <si>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</si>
  <si>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Grade</t>
  </si>
  <si>
    <t>Result</t>
  </si>
  <si>
    <t>Sales ID</t>
  </si>
  <si>
    <t>Product</t>
  </si>
  <si>
    <t>Region</t>
  </si>
  <si>
    <t>Salesperson</t>
  </si>
  <si>
    <t>Amount</t>
  </si>
  <si>
    <t>Date</t>
  </si>
  <si>
    <t>Keyboard</t>
  </si>
  <si>
    <t>South</t>
  </si>
  <si>
    <t>Person 1</t>
  </si>
  <si>
    <t>Printer</t>
  </si>
  <si>
    <t>West</t>
  </si>
  <si>
    <t>Person 2</t>
  </si>
  <si>
    <t>Mouse</t>
  </si>
  <si>
    <t>Person 3</t>
  </si>
  <si>
    <t>East</t>
  </si>
  <si>
    <t>Person 4</t>
  </si>
  <si>
    <t>North</t>
  </si>
  <si>
    <t>Person 5</t>
  </si>
  <si>
    <t>Person 6</t>
  </si>
  <si>
    <t>Person 7</t>
  </si>
  <si>
    <t>Person 8</t>
  </si>
  <si>
    <t>Person 9</t>
  </si>
  <si>
    <t>Person 10</t>
  </si>
  <si>
    <t>Person 11</t>
  </si>
  <si>
    <t>Monitor</t>
  </si>
  <si>
    <t>Person 12</t>
  </si>
  <si>
    <t>Laptop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</si>
  <si>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</si>
  <si>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</si>
  <si>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</si>
  <si>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</si>
  <si>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</si>
  <si>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</si>
  <si>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</si>
  <si>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</si>
  <si>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 xml:space="preserve">1. COUNTIFS </t>
  </si>
  <si>
    <t>2. SUMIFS</t>
  </si>
  <si>
    <t>4. VLOOKUP / XLOOKUP</t>
  </si>
  <si>
    <t>Correct total for East region is:</t>
  </si>
  <si>
    <t>WEST REGION ENTRIES:</t>
  </si>
  <si>
    <t>Column C FOR MATHS</t>
  </si>
  <si>
    <t>2) FOR ALL SUBJECTS:</t>
  </si>
  <si>
    <t xml:space="preserve">  1) COUNTIFS : </t>
  </si>
  <si>
    <t xml:space="preserve">COUNT STUDENTS SCORING ABOVE 60 </t>
  </si>
  <si>
    <t>STUDENTS SCORING ABOVE 80 IN MATHS AND SCIENCE</t>
  </si>
  <si>
    <t>IF STUDENT SCORED ABOVE 80 IN ANY SUBJECT</t>
  </si>
  <si>
    <t>2) IF AND WHEN :</t>
  </si>
  <si>
    <t>3) IF WITH OR :</t>
  </si>
  <si>
    <t>4)AVERAGIES:</t>
  </si>
  <si>
    <t>AVERAGE OF STUDENTS SCORING ABOVE 60</t>
  </si>
  <si>
    <t>5) DATE:</t>
  </si>
  <si>
    <t>Employee ID</t>
  </si>
  <si>
    <t>Department</t>
  </si>
  <si>
    <t>Salary</t>
  </si>
  <si>
    <t>Joining Date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</si>
  <si>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</si>
  <si>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</si>
  <si>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</si>
  <si>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</si>
  <si>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</si>
  <si>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</si>
  <si>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</si>
  <si>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</si>
  <si>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</si>
  <si>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</si>
  <si>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</si>
  <si>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</si>
  <si>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</si>
  <si>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</si>
  <si>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</si>
  <si>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</si>
  <si>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</si>
  <si>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</si>
  <si>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</si>
  <si>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</si>
  <si>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</si>
  <si>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</si>
  <si>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</si>
  <si>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</si>
  <si>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YEAR OF JOINING</t>
  </si>
  <si>
    <t>EXPRIENCES</t>
  </si>
  <si>
    <t>SALARY CATEGORY</t>
  </si>
  <si>
    <t>1) Count employees with Salary &gt; 60,000</t>
  </si>
  <si>
    <t xml:space="preserve">   2) Total Salary of IT Department</t>
  </si>
  <si>
    <t>3) Average Salary &gt; 60,000</t>
  </si>
  <si>
    <t>XLOOKUP /VLOOKUP: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</si>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</sst>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22" fontId="0" fillId="0" borderId="6" xfId="0" applyNumberFormat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22" fontId="0" fillId="0" borderId="4" xfId="0" applyNumberForma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  <xf numFmtId="0" fontId="1" fillId="0" borderId="0" xfId="0" applyFont="1"/>
    <xf numFmtId="0" fontId="0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/>
    <xf numFmtId="0" fontId="6" fillId="0" borderId="0" xfId="0" applyFont="1" applyAlignment="1">
      <alignment horizontal="center"/>
    </xf>
    <xf numFmtId="0" fontId="7" fillId="0" borderId="0" xfId="0" applyFont="1"/>
    <xf numFmtId="0" fontId="0" fillId="0" borderId="0" xfId="0" applyAlignment="1"/>
    <xf numFmtId="22" fontId="6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 applyBorder="1" applyAlignment="1">
      <alignment horizontal="center"/>
    </xf>
    <xf numFmtId="0" fontId="1" fillId="3" borderId="8" xfId="0" applyFont="1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C3100-5BD6-402E-9A84-A85C59F19227}">
  <dimension ref="A1:Q24"/>
  <sheetViews>
    <sheetView tabSelected="1" workbookViewId="0">
      <selection activeCell="O6" sqref="O6"/>
    </sheetView>
  </sheetViews>
  <sheetFormatPr defaultRowHeight="15" x14ac:dyDescent="0.25"/>
  <cols>
    <col min="2" max="2" width="11" customWidth="1"/>
    <col min="6" max="6" width="15.5703125" bestFit="1" customWidth="1"/>
    <col min="7" max="7" width="9.85546875" customWidth="1"/>
  </cols>
  <sheetData>
    <row r="1" spans="1:17" ht="30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 t="s">
        <v>5</v>
      </c>
      <c r="G1" s="7" t="s">
        <v>26</v>
      </c>
      <c r="H1" s="8" t="s">
        <v>27</v>
      </c>
    </row>
    <row r="2" spans="1:17" ht="15.75" thickBot="1" x14ac:dyDescent="0.3">
      <c r="A2" s="3">
        <v>1001</v>
      </c>
      <c r="B2" s="4" t="s">
        <v>6</v>
      </c>
      <c r="C2" s="4">
        <v>61</v>
      </c>
      <c r="D2" s="4">
        <v>48</v>
      </c>
      <c r="E2" s="4">
        <v>76</v>
      </c>
      <c r="F2" s="6">
        <v>43101</v>
      </c>
      <c r="G2" s="3" t="str">
        <f>IF(AVERAGE(C2:E2)&gt;=80,"A",
 IF(AVERAGE(C2:E2)&gt;=60,"B",
 IF(AVERAGE(C2:E2)&gt;=40,"C","FAIL")))</f>
        <v>B</v>
      </c>
      <c r="H2" s="3" t="str">
        <f>IF(AND(C2&gt;=50,D2&gt;=50,E2&gt;=50),"YES","NO")</f>
        <v>NO</v>
      </c>
    </row>
    <row r="3" spans="1:17" ht="15.75" thickBot="1" x14ac:dyDescent="0.3">
      <c r="A3" s="3">
        <v>1002</v>
      </c>
      <c r="B3" s="4" t="s">
        <v>7</v>
      </c>
      <c r="C3" s="4">
        <v>78</v>
      </c>
      <c r="D3" s="4">
        <v>76</v>
      </c>
      <c r="E3" s="4">
        <v>70</v>
      </c>
      <c r="F3" s="6">
        <v>43281</v>
      </c>
      <c r="G3" s="3" t="str">
        <f t="shared" ref="G3:G21" si="0">IF(AVERAGE(C3:E3)&gt;=80,"A",
 IF(AVERAGE(C3:E3)&gt;=60,"B",
 IF(AVERAGE(C3:E3)&gt;=40,"C","FAIL")))</f>
        <v>B</v>
      </c>
      <c r="H3" s="3" t="str">
        <f t="shared" ref="H3:H21" si="1">IF(AND(C3&gt;=50,D3&gt;=50,E3&gt;=50),"YES","NO")</f>
        <v>YES</v>
      </c>
      <c r="J3" s="21"/>
      <c r="K3" s="21"/>
      <c r="L3" s="21"/>
    </row>
    <row r="4" spans="1:17" ht="19.5" thickBot="1" x14ac:dyDescent="0.35">
      <c r="A4" s="3">
        <v>1003</v>
      </c>
      <c r="B4" s="4" t="s">
        <v>8</v>
      </c>
      <c r="C4" s="4">
        <v>97</v>
      </c>
      <c r="D4" s="4">
        <v>60</v>
      </c>
      <c r="E4" s="4">
        <v>51</v>
      </c>
      <c r="F4" s="6">
        <v>43461</v>
      </c>
      <c r="G4" s="3" t="str">
        <f t="shared" si="0"/>
        <v>B</v>
      </c>
      <c r="H4" s="3" t="str">
        <f t="shared" si="1"/>
        <v>YES</v>
      </c>
      <c r="J4" s="19" t="s">
        <v>70</v>
      </c>
      <c r="K4" s="19"/>
      <c r="L4" s="19"/>
      <c r="M4" s="19"/>
      <c r="P4" s="19" t="s">
        <v>78</v>
      </c>
      <c r="Q4" s="22"/>
    </row>
    <row r="5" spans="1:17" ht="19.5" thickBot="1" x14ac:dyDescent="0.35">
      <c r="A5" s="3">
        <v>1004</v>
      </c>
      <c r="B5" s="4" t="s">
        <v>9</v>
      </c>
      <c r="C5" s="4">
        <v>74</v>
      </c>
      <c r="D5" s="4">
        <v>55</v>
      </c>
      <c r="E5" s="4">
        <v>46</v>
      </c>
      <c r="F5" s="6">
        <v>43641</v>
      </c>
      <c r="G5" s="3" t="str">
        <f t="shared" si="0"/>
        <v>C</v>
      </c>
      <c r="H5" s="3" t="str">
        <f t="shared" si="1"/>
        <v>NO</v>
      </c>
      <c r="J5" s="19">
        <f>COUNTIF(C2:C21,"&gt;60")</f>
        <v>19</v>
      </c>
      <c r="K5" s="19"/>
      <c r="L5" s="19"/>
      <c r="M5" s="25"/>
      <c r="O5" s="27">
        <f>YEAR(F2)</f>
        <v>2018</v>
      </c>
      <c r="P5" s="24"/>
      <c r="Q5" s="24"/>
    </row>
    <row r="6" spans="1:17" ht="16.5" customHeight="1" thickBot="1" x14ac:dyDescent="0.35">
      <c r="A6" s="3">
        <v>1005</v>
      </c>
      <c r="B6" s="4" t="s">
        <v>10</v>
      </c>
      <c r="C6" s="4">
        <v>68</v>
      </c>
      <c r="D6" s="4">
        <v>74</v>
      </c>
      <c r="E6" s="4">
        <v>84</v>
      </c>
      <c r="F6" s="6">
        <v>43821</v>
      </c>
      <c r="G6" s="3" t="str">
        <f t="shared" si="0"/>
        <v>B</v>
      </c>
      <c r="H6" s="3" t="str">
        <f t="shared" si="1"/>
        <v>YES</v>
      </c>
      <c r="J6" s="25"/>
      <c r="K6" s="24" t="s">
        <v>68</v>
      </c>
      <c r="L6" s="24"/>
      <c r="M6" s="24"/>
    </row>
    <row r="7" spans="1:17" ht="15.75" thickBot="1" x14ac:dyDescent="0.3">
      <c r="A7" s="3">
        <v>1006</v>
      </c>
      <c r="B7" s="4" t="s">
        <v>11</v>
      </c>
      <c r="C7" s="4">
        <v>80</v>
      </c>
      <c r="D7" s="4">
        <v>70</v>
      </c>
      <c r="E7" s="4">
        <v>65</v>
      </c>
      <c r="F7" s="6">
        <v>44001</v>
      </c>
      <c r="G7" s="3" t="str">
        <f t="shared" si="0"/>
        <v>B</v>
      </c>
      <c r="H7" s="3" t="str">
        <f t="shared" si="1"/>
        <v>YES</v>
      </c>
      <c r="J7" s="21" t="s">
        <v>71</v>
      </c>
      <c r="K7" s="22"/>
      <c r="L7" s="22"/>
      <c r="M7" s="22"/>
      <c r="N7" s="22"/>
    </row>
    <row r="8" spans="1:17" ht="15.75" thickBot="1" x14ac:dyDescent="0.3">
      <c r="A8" s="3">
        <v>1007</v>
      </c>
      <c r="B8" s="4" t="s">
        <v>12</v>
      </c>
      <c r="C8" s="4">
        <v>75</v>
      </c>
      <c r="D8" s="4">
        <v>47</v>
      </c>
      <c r="E8" s="4">
        <v>78</v>
      </c>
      <c r="F8" s="6">
        <v>44181</v>
      </c>
      <c r="G8" s="3" t="str">
        <f t="shared" si="0"/>
        <v>B</v>
      </c>
      <c r="H8" s="3" t="str">
        <f t="shared" si="1"/>
        <v>NO</v>
      </c>
      <c r="J8" s="22"/>
      <c r="K8" s="22"/>
      <c r="L8" s="22"/>
      <c r="M8" s="22"/>
      <c r="N8" s="22"/>
    </row>
    <row r="9" spans="1:17" ht="16.5" thickBot="1" x14ac:dyDescent="0.3">
      <c r="A9" s="3">
        <v>1008</v>
      </c>
      <c r="B9" s="4" t="s">
        <v>13</v>
      </c>
      <c r="C9" s="4">
        <v>94</v>
      </c>
      <c r="D9" s="4">
        <v>67</v>
      </c>
      <c r="E9" s="4">
        <v>64</v>
      </c>
      <c r="F9" s="6">
        <v>44361</v>
      </c>
      <c r="G9" s="3" t="str">
        <f t="shared" si="0"/>
        <v>B</v>
      </c>
      <c r="H9" s="3" t="str">
        <f t="shared" si="1"/>
        <v>YES</v>
      </c>
      <c r="K9" s="24" t="s">
        <v>69</v>
      </c>
      <c r="L9" s="24"/>
      <c r="M9" s="24"/>
    </row>
    <row r="10" spans="1:17" ht="19.5" thickBot="1" x14ac:dyDescent="0.35">
      <c r="A10" s="3">
        <v>1009</v>
      </c>
      <c r="B10" s="4" t="s">
        <v>14</v>
      </c>
      <c r="C10" s="4">
        <v>41</v>
      </c>
      <c r="D10" s="4">
        <v>75</v>
      </c>
      <c r="E10" s="4">
        <v>56</v>
      </c>
      <c r="F10" s="6">
        <v>44541</v>
      </c>
      <c r="G10" s="3" t="str">
        <f t="shared" si="0"/>
        <v>C</v>
      </c>
      <c r="H10" s="3" t="str">
        <f t="shared" si="1"/>
        <v>NO</v>
      </c>
      <c r="J10" s="19">
        <f>COUNTIFS(C2:C21, "&gt;60", D2:D21, "&gt;60", E2:E21, "&gt;60")</f>
        <v>6</v>
      </c>
      <c r="K10" s="19"/>
      <c r="L10" s="19"/>
      <c r="M10" s="20"/>
      <c r="N10" s="20"/>
    </row>
    <row r="11" spans="1:17" ht="15.75" thickBot="1" x14ac:dyDescent="0.3">
      <c r="A11" s="3">
        <v>1010</v>
      </c>
      <c r="B11" s="4" t="s">
        <v>15</v>
      </c>
      <c r="C11" s="4">
        <v>98</v>
      </c>
      <c r="D11" s="4">
        <v>54</v>
      </c>
      <c r="E11" s="4">
        <v>58</v>
      </c>
      <c r="F11" s="6">
        <v>44721</v>
      </c>
      <c r="G11" s="3" t="str">
        <f t="shared" si="0"/>
        <v>B</v>
      </c>
      <c r="H11" s="3" t="str">
        <f t="shared" si="1"/>
        <v>YES</v>
      </c>
      <c r="K11" s="26"/>
      <c r="L11" s="26"/>
      <c r="N11" s="26"/>
    </row>
    <row r="12" spans="1:17" ht="15.75" thickBot="1" x14ac:dyDescent="0.3">
      <c r="A12" s="3">
        <v>1011</v>
      </c>
      <c r="B12" s="4" t="s">
        <v>16</v>
      </c>
      <c r="C12" s="4">
        <v>73</v>
      </c>
      <c r="D12" s="4">
        <v>79</v>
      </c>
      <c r="E12" s="4">
        <v>53</v>
      </c>
      <c r="F12" s="6">
        <v>44901</v>
      </c>
      <c r="G12" s="3" t="str">
        <f t="shared" si="0"/>
        <v>B</v>
      </c>
      <c r="H12" s="3" t="str">
        <f t="shared" si="1"/>
        <v>YES</v>
      </c>
      <c r="K12" s="26"/>
      <c r="L12" s="26"/>
      <c r="M12" s="26"/>
      <c r="N12" s="26"/>
    </row>
    <row r="13" spans="1:17" ht="19.5" thickBot="1" x14ac:dyDescent="0.35">
      <c r="A13" s="3">
        <v>1012</v>
      </c>
      <c r="B13" s="4" t="s">
        <v>17</v>
      </c>
      <c r="C13" s="4">
        <v>85</v>
      </c>
      <c r="D13" s="4">
        <v>89</v>
      </c>
      <c r="E13" s="4">
        <v>79</v>
      </c>
      <c r="F13" s="6">
        <v>45081</v>
      </c>
      <c r="G13" s="3" t="str">
        <f t="shared" si="0"/>
        <v>A</v>
      </c>
      <c r="H13" s="3" t="str">
        <f t="shared" si="1"/>
        <v>YES</v>
      </c>
      <c r="K13" s="19" t="s">
        <v>74</v>
      </c>
      <c r="L13" s="19"/>
      <c r="M13" s="19"/>
      <c r="N13" s="20"/>
    </row>
    <row r="14" spans="1:17" ht="15.75" thickBot="1" x14ac:dyDescent="0.3">
      <c r="A14" s="3">
        <v>1013</v>
      </c>
      <c r="B14" s="4" t="s">
        <v>18</v>
      </c>
      <c r="C14" s="4">
        <v>98</v>
      </c>
      <c r="D14" s="4">
        <v>90</v>
      </c>
      <c r="E14" s="4">
        <v>97</v>
      </c>
      <c r="F14" s="6">
        <v>45261</v>
      </c>
      <c r="G14" s="3" t="str">
        <f t="shared" si="0"/>
        <v>A</v>
      </c>
      <c r="H14" s="3" t="str">
        <f t="shared" si="1"/>
        <v>YES</v>
      </c>
      <c r="J14" s="23" t="s">
        <v>72</v>
      </c>
      <c r="K14" s="26"/>
      <c r="L14" s="26"/>
      <c r="M14" s="26"/>
      <c r="N14" s="26"/>
    </row>
    <row r="15" spans="1:17" ht="16.5" thickBot="1" x14ac:dyDescent="0.3">
      <c r="A15" s="3">
        <v>1014</v>
      </c>
      <c r="B15" s="4" t="s">
        <v>19</v>
      </c>
      <c r="C15" s="4">
        <v>93</v>
      </c>
      <c r="D15" s="4">
        <v>40</v>
      </c>
      <c r="E15" s="4">
        <v>44</v>
      </c>
      <c r="F15" s="6">
        <v>45441</v>
      </c>
      <c r="G15" s="3" t="str">
        <f t="shared" si="0"/>
        <v>C</v>
      </c>
      <c r="H15" s="3" t="str">
        <f t="shared" si="1"/>
        <v>NO</v>
      </c>
      <c r="J15" s="24" t="str">
        <f>IF(AND(C2&gt;80, D2&gt;80 ), "YES", "NO")</f>
        <v>NO</v>
      </c>
      <c r="K15" s="24"/>
      <c r="L15" s="24"/>
      <c r="M15" s="26"/>
      <c r="N15" s="26"/>
    </row>
    <row r="16" spans="1:17" ht="15.75" thickBot="1" x14ac:dyDescent="0.3">
      <c r="A16" s="3">
        <v>1015</v>
      </c>
      <c r="B16" s="4" t="s">
        <v>20</v>
      </c>
      <c r="C16" s="4">
        <v>70</v>
      </c>
      <c r="D16" s="4">
        <v>51</v>
      </c>
      <c r="E16" s="4">
        <v>75</v>
      </c>
      <c r="F16" s="6">
        <v>45621</v>
      </c>
      <c r="G16" s="3" t="str">
        <f t="shared" si="0"/>
        <v>B</v>
      </c>
      <c r="H16" s="3" t="str">
        <f t="shared" si="1"/>
        <v>YES</v>
      </c>
      <c r="K16" s="26"/>
      <c r="L16" s="26"/>
      <c r="M16" s="26"/>
      <c r="N16" s="26"/>
    </row>
    <row r="17" spans="1:15" ht="19.5" thickBot="1" x14ac:dyDescent="0.35">
      <c r="A17" s="3">
        <v>1016</v>
      </c>
      <c r="B17" s="4" t="s">
        <v>21</v>
      </c>
      <c r="C17" s="4">
        <v>98</v>
      </c>
      <c r="D17" s="4">
        <v>77</v>
      </c>
      <c r="E17" s="4">
        <v>60</v>
      </c>
      <c r="F17" s="6">
        <v>45801</v>
      </c>
      <c r="G17" s="3" t="str">
        <f t="shared" si="0"/>
        <v>B</v>
      </c>
      <c r="H17" s="3" t="str">
        <f t="shared" si="1"/>
        <v>YES</v>
      </c>
      <c r="J17" s="19" t="s">
        <v>75</v>
      </c>
      <c r="K17" s="19"/>
      <c r="L17" s="19"/>
      <c r="M17" s="19"/>
      <c r="N17" s="20"/>
    </row>
    <row r="18" spans="1:15" ht="15.75" thickBot="1" x14ac:dyDescent="0.3">
      <c r="A18" s="3">
        <v>1017</v>
      </c>
      <c r="B18" s="4" t="s">
        <v>22</v>
      </c>
      <c r="C18" s="4">
        <v>66</v>
      </c>
      <c r="D18" s="4">
        <v>59</v>
      </c>
      <c r="E18" s="4">
        <v>40</v>
      </c>
      <c r="F18" s="6">
        <v>45981</v>
      </c>
      <c r="G18" s="3" t="str">
        <f t="shared" si="0"/>
        <v>C</v>
      </c>
      <c r="H18" s="3" t="str">
        <f t="shared" si="1"/>
        <v>NO</v>
      </c>
      <c r="J18" s="21" t="s">
        <v>73</v>
      </c>
      <c r="K18" s="22"/>
      <c r="L18" s="22"/>
      <c r="M18" s="22"/>
      <c r="N18" s="22"/>
      <c r="O18" s="22"/>
    </row>
    <row r="19" spans="1:15" ht="16.5" thickBot="1" x14ac:dyDescent="0.3">
      <c r="A19" s="3">
        <v>1018</v>
      </c>
      <c r="B19" s="4" t="s">
        <v>23</v>
      </c>
      <c r="C19" s="4">
        <v>82</v>
      </c>
      <c r="D19" s="4">
        <v>48</v>
      </c>
      <c r="E19" s="4">
        <v>79</v>
      </c>
      <c r="F19" s="6">
        <v>46161</v>
      </c>
      <c r="G19" s="3" t="str">
        <f t="shared" si="0"/>
        <v>B</v>
      </c>
      <c r="H19" s="3" t="str">
        <f t="shared" si="1"/>
        <v>NO</v>
      </c>
      <c r="J19" s="24" t="str">
        <f>IF(OR(C2&gt;80, D2&gt;80, E2&gt;80), "YESS", "NO")</f>
        <v>NO</v>
      </c>
      <c r="K19" s="24"/>
      <c r="L19" s="24"/>
    </row>
    <row r="20" spans="1:15" ht="15.75" thickBot="1" x14ac:dyDescent="0.3">
      <c r="A20" s="3">
        <v>1019</v>
      </c>
      <c r="B20" s="4" t="s">
        <v>24</v>
      </c>
      <c r="C20" s="4">
        <v>90</v>
      </c>
      <c r="D20" s="4">
        <v>78</v>
      </c>
      <c r="E20" s="4">
        <v>60</v>
      </c>
      <c r="F20" s="6">
        <v>46341</v>
      </c>
      <c r="G20" s="3" t="str">
        <f t="shared" si="0"/>
        <v>B</v>
      </c>
      <c r="H20" s="3" t="str">
        <f t="shared" si="1"/>
        <v>YES</v>
      </c>
    </row>
    <row r="21" spans="1:15" ht="15.75" thickBot="1" x14ac:dyDescent="0.3">
      <c r="A21" s="3">
        <v>1020</v>
      </c>
      <c r="B21" s="4" t="s">
        <v>25</v>
      </c>
      <c r="C21" s="4">
        <v>83</v>
      </c>
      <c r="D21" s="4">
        <v>92</v>
      </c>
      <c r="E21" s="4">
        <v>55</v>
      </c>
      <c r="F21" s="6">
        <v>46521</v>
      </c>
      <c r="G21" s="3" t="str">
        <f t="shared" si="0"/>
        <v>B</v>
      </c>
      <c r="H21" s="3" t="str">
        <f t="shared" si="1"/>
        <v>YES</v>
      </c>
    </row>
    <row r="22" spans="1:15" ht="18.75" x14ac:dyDescent="0.3">
      <c r="J22" s="19" t="s">
        <v>76</v>
      </c>
      <c r="K22" s="22"/>
      <c r="L22" s="22"/>
      <c r="M22" s="22"/>
    </row>
    <row r="23" spans="1:15" x14ac:dyDescent="0.25">
      <c r="J23" s="21" t="s">
        <v>77</v>
      </c>
      <c r="K23" s="21"/>
      <c r="L23" s="21"/>
      <c r="M23" s="21"/>
      <c r="N23" s="21"/>
    </row>
    <row r="24" spans="1:15" ht="15.75" x14ac:dyDescent="0.25">
      <c r="K24" s="24">
        <f>AVERAGEIFS(C:C,C:C,"&gt;60")</f>
        <v>82.263157894736835</v>
      </c>
      <c r="L24" s="24"/>
    </row>
  </sheetData>
  <mergeCells count="17">
    <mergeCell ref="K13:M13"/>
    <mergeCell ref="J22:M22"/>
    <mergeCell ref="J23:N23"/>
    <mergeCell ref="K24:L24"/>
    <mergeCell ref="P4:Q4"/>
    <mergeCell ref="O5:Q5"/>
    <mergeCell ref="J15:L15"/>
    <mergeCell ref="J17:M17"/>
    <mergeCell ref="J18:O18"/>
    <mergeCell ref="J19:L19"/>
    <mergeCell ref="J4:M4"/>
    <mergeCell ref="J7:N8"/>
    <mergeCell ref="J10:L10"/>
    <mergeCell ref="J3:L3"/>
    <mergeCell ref="J5:L5"/>
    <mergeCell ref="K6:M6"/>
    <mergeCell ref="K9:M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92560-583B-4CE0-9BC4-B46D2F4A5220}">
  <dimension ref="A1:K21"/>
  <sheetViews>
    <sheetView topLeftCell="A11" workbookViewId="0">
      <selection activeCell="O19" sqref="O19"/>
    </sheetView>
  </sheetViews>
  <sheetFormatPr defaultRowHeight="15" x14ac:dyDescent="0.25"/>
  <cols>
    <col min="6" max="6" width="14.85546875" bestFit="1" customWidth="1"/>
  </cols>
  <sheetData>
    <row r="1" spans="1:11" ht="30.75" thickBot="1" x14ac:dyDescent="0.3">
      <c r="A1" s="1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H1" s="11" t="s">
        <v>63</v>
      </c>
    </row>
    <row r="2" spans="1:11" ht="30.75" thickBot="1" x14ac:dyDescent="0.35">
      <c r="A2" s="3">
        <v>2001</v>
      </c>
      <c r="B2" s="4" t="s">
        <v>34</v>
      </c>
      <c r="C2" s="4" t="s">
        <v>35</v>
      </c>
      <c r="D2" s="4" t="s">
        <v>36</v>
      </c>
      <c r="E2" s="4">
        <v>7048</v>
      </c>
      <c r="F2" s="9">
        <v>44927</v>
      </c>
      <c r="H2" s="19" t="s">
        <v>67</v>
      </c>
      <c r="I2" s="19"/>
      <c r="J2" s="19"/>
      <c r="K2" s="17"/>
    </row>
    <row r="3" spans="1:11" ht="19.5" thickBot="1" x14ac:dyDescent="0.35">
      <c r="A3" s="3">
        <v>2002</v>
      </c>
      <c r="B3" s="4" t="s">
        <v>37</v>
      </c>
      <c r="C3" s="4" t="s">
        <v>38</v>
      </c>
      <c r="D3" s="4" t="s">
        <v>39</v>
      </c>
      <c r="E3" s="4">
        <v>17428</v>
      </c>
      <c r="F3" s="9">
        <v>44942</v>
      </c>
      <c r="H3" s="12">
        <f>COUNTIFS(C2:C21, "West")</f>
        <v>4</v>
      </c>
    </row>
    <row r="4" spans="1:11" ht="15.75" thickBot="1" x14ac:dyDescent="0.3">
      <c r="A4" s="3">
        <v>2003</v>
      </c>
      <c r="B4" s="4" t="s">
        <v>40</v>
      </c>
      <c r="C4" s="4" t="s">
        <v>35</v>
      </c>
      <c r="D4" s="4" t="s">
        <v>41</v>
      </c>
      <c r="E4" s="4">
        <v>23672</v>
      </c>
      <c r="F4" s="9">
        <v>44957</v>
      </c>
      <c r="H4" s="10"/>
    </row>
    <row r="5" spans="1:11" ht="24" thickBot="1" x14ac:dyDescent="0.4">
      <c r="A5" s="3">
        <v>2004</v>
      </c>
      <c r="B5" s="4" t="s">
        <v>37</v>
      </c>
      <c r="C5" s="4" t="s">
        <v>42</v>
      </c>
      <c r="D5" s="4" t="s">
        <v>43</v>
      </c>
      <c r="E5" s="4">
        <v>5264</v>
      </c>
      <c r="F5" s="9">
        <v>44972</v>
      </c>
      <c r="H5" s="13" t="s">
        <v>64</v>
      </c>
      <c r="I5" s="14"/>
    </row>
    <row r="6" spans="1:11" ht="30.75" thickBot="1" x14ac:dyDescent="0.35">
      <c r="A6" s="3">
        <v>2005</v>
      </c>
      <c r="B6" s="4" t="s">
        <v>34</v>
      </c>
      <c r="C6" s="4" t="s">
        <v>44</v>
      </c>
      <c r="D6" s="4" t="s">
        <v>45</v>
      </c>
      <c r="E6" s="4">
        <v>43388</v>
      </c>
      <c r="F6" s="9">
        <v>44987</v>
      </c>
      <c r="H6" s="12" t="s">
        <v>66</v>
      </c>
    </row>
    <row r="7" spans="1:11" ht="15.75" thickBot="1" x14ac:dyDescent="0.3">
      <c r="A7" s="3">
        <v>2006</v>
      </c>
      <c r="B7" s="4" t="s">
        <v>40</v>
      </c>
      <c r="C7" s="4" t="s">
        <v>44</v>
      </c>
      <c r="D7" s="4" t="s">
        <v>46</v>
      </c>
      <c r="E7" s="4">
        <v>19757</v>
      </c>
      <c r="F7" s="9">
        <v>45002</v>
      </c>
    </row>
    <row r="8" spans="1:11" ht="18.75" thickBot="1" x14ac:dyDescent="0.3">
      <c r="A8" s="3">
        <v>2007</v>
      </c>
      <c r="B8" s="4" t="s">
        <v>40</v>
      </c>
      <c r="C8" s="4" t="s">
        <v>42</v>
      </c>
      <c r="D8" s="4" t="s">
        <v>47</v>
      </c>
      <c r="E8" s="4">
        <v>32058</v>
      </c>
      <c r="F8" s="9">
        <v>45017</v>
      </c>
      <c r="H8" s="15">
        <f>SUMIFS(E2:E21, C2:C21, "EAST")</f>
        <v>173932</v>
      </c>
    </row>
    <row r="9" spans="1:11" ht="30.75" thickBot="1" x14ac:dyDescent="0.4">
      <c r="A9" s="3">
        <v>2008</v>
      </c>
      <c r="B9" s="4" t="s">
        <v>34</v>
      </c>
      <c r="C9" s="4" t="s">
        <v>42</v>
      </c>
      <c r="D9" s="4" t="s">
        <v>48</v>
      </c>
      <c r="E9" s="4">
        <v>46429</v>
      </c>
      <c r="F9" s="9">
        <v>45032</v>
      </c>
      <c r="H9" s="13" t="s">
        <v>65</v>
      </c>
    </row>
    <row r="10" spans="1:11" ht="15.75" thickBot="1" x14ac:dyDescent="0.3">
      <c r="A10" s="3">
        <v>2009</v>
      </c>
      <c r="B10" s="4" t="s">
        <v>37</v>
      </c>
      <c r="C10" s="4" t="s">
        <v>42</v>
      </c>
      <c r="D10" s="4" t="s">
        <v>49</v>
      </c>
      <c r="E10" s="4">
        <v>19746</v>
      </c>
      <c r="F10" s="9">
        <v>45047</v>
      </c>
    </row>
    <row r="11" spans="1:11" ht="30.75" thickBot="1" x14ac:dyDescent="0.35">
      <c r="A11" s="3">
        <v>2010</v>
      </c>
      <c r="B11" s="4" t="s">
        <v>34</v>
      </c>
      <c r="C11" s="4" t="s">
        <v>35</v>
      </c>
      <c r="D11" s="4" t="s">
        <v>50</v>
      </c>
      <c r="E11" s="4">
        <v>35185</v>
      </c>
      <c r="F11" s="9">
        <v>45062</v>
      </c>
      <c r="H11" s="18">
        <f>VLOOKUP(A2,A2:F21,5,FALSE)</f>
        <v>7048</v>
      </c>
    </row>
    <row r="12" spans="1:11" ht="30.75" thickBot="1" x14ac:dyDescent="0.3">
      <c r="A12" s="3">
        <v>2011</v>
      </c>
      <c r="B12" s="4" t="s">
        <v>34</v>
      </c>
      <c r="C12" s="4" t="s">
        <v>42</v>
      </c>
      <c r="D12" s="4" t="s">
        <v>51</v>
      </c>
      <c r="E12" s="4">
        <v>33920</v>
      </c>
      <c r="F12" s="9">
        <v>45077</v>
      </c>
    </row>
    <row r="13" spans="1:11" ht="30.75" thickBot="1" x14ac:dyDescent="0.3">
      <c r="A13" s="3">
        <v>2012</v>
      </c>
      <c r="B13" s="4" t="s">
        <v>52</v>
      </c>
      <c r="C13" s="4" t="s">
        <v>44</v>
      </c>
      <c r="D13" s="4" t="s">
        <v>53</v>
      </c>
      <c r="E13" s="4">
        <v>35611</v>
      </c>
      <c r="F13" s="9">
        <v>45092</v>
      </c>
    </row>
    <row r="14" spans="1:11" ht="30.75" thickBot="1" x14ac:dyDescent="0.3">
      <c r="A14" s="3">
        <v>2013</v>
      </c>
      <c r="B14" s="4" t="s">
        <v>54</v>
      </c>
      <c r="C14" s="4" t="s">
        <v>42</v>
      </c>
      <c r="D14" s="4" t="s">
        <v>55</v>
      </c>
      <c r="E14" s="4">
        <v>15560</v>
      </c>
      <c r="F14" s="9">
        <v>45107</v>
      </c>
    </row>
    <row r="15" spans="1:11" ht="30.75" thickBot="1" x14ac:dyDescent="0.3">
      <c r="A15" s="3">
        <v>2014</v>
      </c>
      <c r="B15" s="4" t="s">
        <v>54</v>
      </c>
      <c r="C15" s="4" t="s">
        <v>35</v>
      </c>
      <c r="D15" s="4" t="s">
        <v>56</v>
      </c>
      <c r="E15" s="4">
        <v>7283</v>
      </c>
      <c r="F15" s="9">
        <v>45122</v>
      </c>
    </row>
    <row r="16" spans="1:11" ht="30.75" thickBot="1" x14ac:dyDescent="0.3">
      <c r="A16" s="3">
        <v>2015</v>
      </c>
      <c r="B16" s="4" t="s">
        <v>54</v>
      </c>
      <c r="C16" s="4" t="s">
        <v>42</v>
      </c>
      <c r="D16" s="4" t="s">
        <v>57</v>
      </c>
      <c r="E16" s="4">
        <v>15678</v>
      </c>
      <c r="F16" s="9">
        <v>45137</v>
      </c>
    </row>
    <row r="17" spans="1:6" ht="30.75" thickBot="1" x14ac:dyDescent="0.3">
      <c r="A17" s="3">
        <v>2016</v>
      </c>
      <c r="B17" s="4" t="s">
        <v>40</v>
      </c>
      <c r="C17" s="4" t="s">
        <v>42</v>
      </c>
      <c r="D17" s="4" t="s">
        <v>58</v>
      </c>
      <c r="E17" s="4">
        <v>5277</v>
      </c>
      <c r="F17" s="9">
        <v>45152</v>
      </c>
    </row>
    <row r="18" spans="1:6" ht="30.75" thickBot="1" x14ac:dyDescent="0.3">
      <c r="A18" s="3">
        <v>2017</v>
      </c>
      <c r="B18" s="4" t="s">
        <v>52</v>
      </c>
      <c r="C18" s="4" t="s">
        <v>44</v>
      </c>
      <c r="D18" s="4" t="s">
        <v>59</v>
      </c>
      <c r="E18" s="4">
        <v>41871</v>
      </c>
      <c r="F18" s="9">
        <v>45167</v>
      </c>
    </row>
    <row r="19" spans="1:6" ht="30.75" thickBot="1" x14ac:dyDescent="0.3">
      <c r="A19" s="3">
        <v>2018</v>
      </c>
      <c r="B19" s="4" t="s">
        <v>52</v>
      </c>
      <c r="C19" s="4" t="s">
        <v>38</v>
      </c>
      <c r="D19" s="4" t="s">
        <v>60</v>
      </c>
      <c r="E19" s="4">
        <v>38161</v>
      </c>
      <c r="F19" s="9">
        <v>45182</v>
      </c>
    </row>
    <row r="20" spans="1:6" ht="30.75" thickBot="1" x14ac:dyDescent="0.3">
      <c r="A20" s="3">
        <v>2019</v>
      </c>
      <c r="B20" s="4" t="s">
        <v>40</v>
      </c>
      <c r="C20" s="4" t="s">
        <v>38</v>
      </c>
      <c r="D20" s="4" t="s">
        <v>61</v>
      </c>
      <c r="E20" s="4">
        <v>30436</v>
      </c>
      <c r="F20" s="9">
        <v>45197</v>
      </c>
    </row>
    <row r="21" spans="1:6" ht="30.75" thickBot="1" x14ac:dyDescent="0.3">
      <c r="A21" s="3">
        <v>2020</v>
      </c>
      <c r="B21" s="4" t="s">
        <v>37</v>
      </c>
      <c r="C21" s="4" t="s">
        <v>38</v>
      </c>
      <c r="D21" s="4" t="s">
        <v>62</v>
      </c>
      <c r="E21" s="4">
        <v>33953</v>
      </c>
      <c r="F21" s="9">
        <v>45212</v>
      </c>
    </row>
  </sheetData>
  <mergeCells count="1">
    <mergeCell ref="H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FDFC0-68C0-4F70-811F-FB37FD18FE5B}">
  <dimension ref="A1:R21"/>
  <sheetViews>
    <sheetView workbookViewId="0">
      <selection activeCell="I4" sqref="I4"/>
    </sheetView>
  </sheetViews>
  <sheetFormatPr defaultRowHeight="15" x14ac:dyDescent="0.25"/>
  <cols>
    <col min="1" max="1" width="12.140625" bestFit="1" customWidth="1"/>
    <col min="2" max="2" width="8.7109375" bestFit="1" customWidth="1"/>
    <col min="3" max="3" width="11.85546875" customWidth="1"/>
    <col min="4" max="4" width="7" bestFit="1" customWidth="1"/>
    <col min="5" max="5" width="14.85546875" bestFit="1" customWidth="1"/>
    <col min="6" max="6" width="16.5703125" bestFit="1" customWidth="1"/>
    <col min="7" max="7" width="11.42578125" customWidth="1"/>
    <col min="8" max="8" width="10.5703125" bestFit="1" customWidth="1"/>
    <col min="10" max="10" width="13" customWidth="1"/>
    <col min="11" max="11" width="8.7109375" bestFit="1" customWidth="1"/>
    <col min="12" max="12" width="6.28515625" bestFit="1" customWidth="1"/>
  </cols>
  <sheetData>
    <row r="1" spans="1:18" ht="30.75" thickBot="1" x14ac:dyDescent="0.4">
      <c r="A1" s="31" t="s">
        <v>79</v>
      </c>
      <c r="B1" s="32" t="s">
        <v>1</v>
      </c>
      <c r="C1" s="32" t="s">
        <v>80</v>
      </c>
      <c r="D1" s="32" t="s">
        <v>81</v>
      </c>
      <c r="E1" s="33" t="s">
        <v>82</v>
      </c>
      <c r="F1" s="41" t="s">
        <v>107</v>
      </c>
      <c r="G1" s="41" t="s">
        <v>108</v>
      </c>
      <c r="H1" s="41" t="s">
        <v>109</v>
      </c>
      <c r="J1" s="36" t="s">
        <v>79</v>
      </c>
      <c r="K1" s="36" t="s">
        <v>81</v>
      </c>
      <c r="L1" s="37" t="s">
        <v>113</v>
      </c>
      <c r="M1" s="37"/>
      <c r="N1" s="37"/>
      <c r="O1" s="37"/>
    </row>
    <row r="2" spans="1:18" ht="30.75" thickBot="1" x14ac:dyDescent="0.3">
      <c r="A2" s="3">
        <v>3001</v>
      </c>
      <c r="B2" s="4" t="s">
        <v>83</v>
      </c>
      <c r="C2" s="4" t="s">
        <v>84</v>
      </c>
      <c r="D2" s="4">
        <v>86766</v>
      </c>
      <c r="E2" s="6">
        <v>42005</v>
      </c>
      <c r="F2" s="42">
        <f>YEAR(E2)</f>
        <v>2015</v>
      </c>
      <c r="G2" s="42">
        <f ca="1">DATEDIF(E2,TODAY(),"Y")</f>
        <v>11</v>
      </c>
      <c r="H2" s="43" t="str">
        <f>IF(D2&gt;100000,"High",IF(D2&gt;=60000,"Medium","Low"))</f>
        <v>Medium</v>
      </c>
      <c r="J2" s="16">
        <v>3005</v>
      </c>
      <c r="K2" s="16">
        <f>VLOOKUP(J2,A2:D20,4,FALSE)</f>
        <v>54149</v>
      </c>
      <c r="L2" s="22" t="s">
        <v>114</v>
      </c>
      <c r="M2" s="22"/>
      <c r="N2" s="22"/>
      <c r="O2" s="22"/>
    </row>
    <row r="3" spans="1:18" ht="30.75" thickBot="1" x14ac:dyDescent="0.35">
      <c r="A3" s="3">
        <v>3002</v>
      </c>
      <c r="B3" s="4" t="s">
        <v>85</v>
      </c>
      <c r="C3" s="4" t="s">
        <v>84</v>
      </c>
      <c r="D3" s="4">
        <v>31943</v>
      </c>
      <c r="E3" s="6">
        <v>42255</v>
      </c>
      <c r="F3" s="42">
        <f t="shared" ref="F3:F21" si="0">YEAR(E3)</f>
        <v>2015</v>
      </c>
      <c r="G3" s="42">
        <f t="shared" ref="G3:G21" ca="1" si="1">DATEDIF(E3,TODAY(),"Y")</f>
        <v>10</v>
      </c>
      <c r="H3" s="43" t="str">
        <f t="shared" ref="H3:H21" si="2">IF(D3&gt;100000,"High",IF(D3&gt;=60000,"Medium","Low"))</f>
        <v>Low</v>
      </c>
      <c r="I3" s="40" t="s">
        <v>110</v>
      </c>
      <c r="J3" s="38"/>
      <c r="K3" s="38"/>
      <c r="L3" s="38"/>
      <c r="M3" s="38"/>
      <c r="N3" s="38"/>
      <c r="O3" s="38"/>
      <c r="P3" s="38"/>
    </row>
    <row r="4" spans="1:18" ht="30.75" thickBot="1" x14ac:dyDescent="0.4">
      <c r="A4" s="3">
        <v>3003</v>
      </c>
      <c r="B4" s="4" t="s">
        <v>86</v>
      </c>
      <c r="C4" s="4" t="s">
        <v>87</v>
      </c>
      <c r="D4" s="4">
        <v>63374</v>
      </c>
      <c r="E4" s="6">
        <v>42505</v>
      </c>
      <c r="F4" s="42">
        <f t="shared" si="0"/>
        <v>2016</v>
      </c>
      <c r="G4" s="42">
        <f t="shared" ca="1" si="1"/>
        <v>9</v>
      </c>
      <c r="H4" s="43" t="str">
        <f t="shared" si="2"/>
        <v>Medium</v>
      </c>
      <c r="J4" s="28">
        <f>COUNTIFS(D:D,"&gt;60000")</f>
        <v>14</v>
      </c>
      <c r="K4" s="28"/>
      <c r="L4" s="28"/>
      <c r="M4" s="28"/>
      <c r="N4" s="28"/>
      <c r="O4" s="28"/>
      <c r="P4" s="28"/>
    </row>
    <row r="5" spans="1:18" ht="30.75" thickBot="1" x14ac:dyDescent="0.3">
      <c r="A5" s="3">
        <v>3004</v>
      </c>
      <c r="B5" s="4" t="s">
        <v>88</v>
      </c>
      <c r="C5" s="4" t="s">
        <v>84</v>
      </c>
      <c r="D5" s="4">
        <v>109972</v>
      </c>
      <c r="E5" s="6">
        <v>42755</v>
      </c>
      <c r="F5" s="42">
        <f t="shared" si="0"/>
        <v>2017</v>
      </c>
      <c r="G5" s="42">
        <f t="shared" ca="1" si="1"/>
        <v>9</v>
      </c>
      <c r="H5" s="43" t="str">
        <f t="shared" si="2"/>
        <v>High</v>
      </c>
      <c r="J5" s="22"/>
      <c r="K5" s="22"/>
      <c r="L5" s="22"/>
      <c r="M5" s="22"/>
      <c r="N5" s="22"/>
      <c r="O5" s="22"/>
      <c r="P5" s="22"/>
    </row>
    <row r="6" spans="1:18" ht="30.75" thickBot="1" x14ac:dyDescent="0.35">
      <c r="A6" s="3">
        <v>3005</v>
      </c>
      <c r="B6" s="4" t="s">
        <v>89</v>
      </c>
      <c r="C6" s="4" t="s">
        <v>90</v>
      </c>
      <c r="D6" s="4">
        <v>54149</v>
      </c>
      <c r="E6" s="6">
        <v>43005</v>
      </c>
      <c r="F6" s="42">
        <f t="shared" si="0"/>
        <v>2017</v>
      </c>
      <c r="G6" s="43">
        <f t="shared" ca="1" si="1"/>
        <v>8</v>
      </c>
      <c r="H6" s="43" t="str">
        <f t="shared" si="2"/>
        <v>Low</v>
      </c>
      <c r="J6" s="38" t="s">
        <v>111</v>
      </c>
      <c r="K6" s="39"/>
      <c r="L6" s="39"/>
      <c r="M6" s="39"/>
      <c r="N6" s="39"/>
      <c r="O6" s="39"/>
      <c r="P6" s="39"/>
    </row>
    <row r="7" spans="1:18" ht="30.75" thickBot="1" x14ac:dyDescent="0.4">
      <c r="A7" s="3">
        <v>3006</v>
      </c>
      <c r="B7" s="4" t="s">
        <v>91</v>
      </c>
      <c r="C7" s="4" t="s">
        <v>90</v>
      </c>
      <c r="D7" s="4">
        <v>78689</v>
      </c>
      <c r="E7" s="6">
        <v>43255</v>
      </c>
      <c r="F7" s="42">
        <f t="shared" si="0"/>
        <v>2018</v>
      </c>
      <c r="G7" s="43">
        <f t="shared" ca="1" si="1"/>
        <v>7</v>
      </c>
      <c r="H7" s="43" t="str">
        <f t="shared" si="2"/>
        <v>Medium</v>
      </c>
      <c r="J7" s="28">
        <f>SUMIFS(D:D,C:C,"IT")</f>
        <v>431204</v>
      </c>
      <c r="K7" s="28"/>
      <c r="L7" s="28"/>
      <c r="M7" s="28"/>
      <c r="N7" s="28"/>
      <c r="O7" s="28"/>
      <c r="P7" s="28"/>
    </row>
    <row r="8" spans="1:18" ht="30.75" thickBot="1" x14ac:dyDescent="0.3">
      <c r="A8" s="3">
        <v>3007</v>
      </c>
      <c r="B8" s="4" t="s">
        <v>92</v>
      </c>
      <c r="C8" s="4" t="s">
        <v>93</v>
      </c>
      <c r="D8" s="4">
        <v>35960</v>
      </c>
      <c r="E8" s="6">
        <v>43505</v>
      </c>
      <c r="F8" s="42">
        <f t="shared" si="0"/>
        <v>2019</v>
      </c>
      <c r="G8" s="43">
        <f t="shared" ca="1" si="1"/>
        <v>7</v>
      </c>
      <c r="H8" s="43" t="str">
        <f t="shared" si="2"/>
        <v>Low</v>
      </c>
    </row>
    <row r="9" spans="1:18" ht="30.75" thickBot="1" x14ac:dyDescent="0.35">
      <c r="A9" s="3">
        <v>3008</v>
      </c>
      <c r="B9" s="4" t="s">
        <v>94</v>
      </c>
      <c r="C9" s="4" t="s">
        <v>90</v>
      </c>
      <c r="D9" s="4">
        <v>91659</v>
      </c>
      <c r="E9" s="6">
        <v>43755</v>
      </c>
      <c r="F9" s="42">
        <f t="shared" si="0"/>
        <v>2019</v>
      </c>
      <c r="G9" s="43">
        <f t="shared" ca="1" si="1"/>
        <v>6</v>
      </c>
      <c r="H9" s="43" t="str">
        <f t="shared" si="2"/>
        <v>Medium</v>
      </c>
      <c r="K9" s="38" t="s">
        <v>112</v>
      </c>
      <c r="L9" s="38"/>
      <c r="M9" s="38"/>
      <c r="N9" s="38"/>
      <c r="O9" s="38"/>
    </row>
    <row r="10" spans="1:18" ht="30.75" thickBot="1" x14ac:dyDescent="0.35">
      <c r="A10" s="3">
        <v>3009</v>
      </c>
      <c r="B10" s="4" t="s">
        <v>95</v>
      </c>
      <c r="C10" s="4" t="s">
        <v>90</v>
      </c>
      <c r="D10" s="4">
        <v>90423</v>
      </c>
      <c r="E10" s="6">
        <v>44005</v>
      </c>
      <c r="F10" s="42">
        <f t="shared" si="0"/>
        <v>2020</v>
      </c>
      <c r="G10" s="43">
        <f t="shared" ca="1" si="1"/>
        <v>5</v>
      </c>
      <c r="H10" s="43" t="str">
        <f t="shared" si="2"/>
        <v>Medium</v>
      </c>
      <c r="K10" s="19">
        <f>AVERAGEIFS(D:D,D:D,"&gt;60000")</f>
        <v>95233.571428571435</v>
      </c>
      <c r="L10" s="19"/>
      <c r="M10" s="19"/>
    </row>
    <row r="11" spans="1:18" ht="30.75" thickBot="1" x14ac:dyDescent="0.3">
      <c r="A11" s="3">
        <v>3010</v>
      </c>
      <c r="B11" s="4" t="s">
        <v>96</v>
      </c>
      <c r="C11" s="4" t="s">
        <v>87</v>
      </c>
      <c r="D11" s="4">
        <v>107877</v>
      </c>
      <c r="E11" s="6">
        <v>44255</v>
      </c>
      <c r="F11" s="42">
        <f t="shared" si="0"/>
        <v>2021</v>
      </c>
      <c r="G11" s="43">
        <f t="shared" ca="1" si="1"/>
        <v>5</v>
      </c>
      <c r="H11" s="43" t="str">
        <f t="shared" si="2"/>
        <v>High</v>
      </c>
    </row>
    <row r="12" spans="1:18" ht="30.75" thickBot="1" x14ac:dyDescent="0.4">
      <c r="A12" s="3">
        <v>3011</v>
      </c>
      <c r="B12" s="4" t="s">
        <v>97</v>
      </c>
      <c r="C12" s="4" t="s">
        <v>84</v>
      </c>
      <c r="D12" s="4">
        <v>107634</v>
      </c>
      <c r="E12" s="6">
        <v>44505</v>
      </c>
      <c r="F12" s="42">
        <f t="shared" si="0"/>
        <v>2021</v>
      </c>
      <c r="G12" s="43">
        <f t="shared" ca="1" si="1"/>
        <v>4</v>
      </c>
      <c r="H12" s="43" t="str">
        <f t="shared" si="2"/>
        <v>High</v>
      </c>
      <c r="K12" s="28"/>
      <c r="L12" s="28"/>
      <c r="M12" s="28"/>
      <c r="N12" s="28"/>
      <c r="O12" s="28"/>
    </row>
    <row r="13" spans="1:18" ht="30.75" thickBot="1" x14ac:dyDescent="0.3">
      <c r="A13" s="3">
        <v>3012</v>
      </c>
      <c r="B13" s="4" t="s">
        <v>98</v>
      </c>
      <c r="C13" s="4" t="s">
        <v>84</v>
      </c>
      <c r="D13" s="4">
        <v>35226</v>
      </c>
      <c r="E13" s="6">
        <v>44755</v>
      </c>
      <c r="F13" s="42">
        <f t="shared" si="0"/>
        <v>2022</v>
      </c>
      <c r="G13" s="43">
        <f t="shared" ca="1" si="1"/>
        <v>3</v>
      </c>
      <c r="H13" s="43" t="str">
        <f t="shared" si="2"/>
        <v>Low</v>
      </c>
      <c r="J13" s="29"/>
      <c r="K13" s="35"/>
      <c r="L13" s="35"/>
      <c r="M13" s="35"/>
      <c r="N13" s="35"/>
      <c r="O13" s="34"/>
      <c r="P13" s="34"/>
      <c r="Q13" s="34"/>
      <c r="R13" s="34"/>
    </row>
    <row r="14" spans="1:18" ht="30.75" thickBot="1" x14ac:dyDescent="0.3">
      <c r="A14" s="3">
        <v>3013</v>
      </c>
      <c r="B14" s="4" t="s">
        <v>99</v>
      </c>
      <c r="C14" s="4" t="s">
        <v>87</v>
      </c>
      <c r="D14" s="4">
        <v>40872</v>
      </c>
      <c r="E14" s="6">
        <v>45005</v>
      </c>
      <c r="F14" s="42">
        <f t="shared" si="0"/>
        <v>2023</v>
      </c>
      <c r="G14" s="43">
        <f t="shared" ca="1" si="1"/>
        <v>3</v>
      </c>
      <c r="H14" s="43" t="str">
        <f t="shared" si="2"/>
        <v>Low</v>
      </c>
      <c r="J14" s="30"/>
      <c r="K14" s="30"/>
      <c r="L14" s="30"/>
    </row>
    <row r="15" spans="1:18" ht="30.75" thickBot="1" x14ac:dyDescent="0.3">
      <c r="A15" s="3">
        <v>3014</v>
      </c>
      <c r="B15" s="4" t="s">
        <v>100</v>
      </c>
      <c r="C15" s="4" t="s">
        <v>87</v>
      </c>
      <c r="D15" s="4">
        <v>55378</v>
      </c>
      <c r="E15" s="6">
        <v>45255</v>
      </c>
      <c r="F15" s="42">
        <f t="shared" si="0"/>
        <v>2023</v>
      </c>
      <c r="G15" s="43">
        <f t="shared" ca="1" si="1"/>
        <v>2</v>
      </c>
      <c r="H15" s="43" t="str">
        <f t="shared" si="2"/>
        <v>Low</v>
      </c>
    </row>
    <row r="16" spans="1:18" ht="30.75" thickBot="1" x14ac:dyDescent="0.3">
      <c r="A16" s="3">
        <v>3015</v>
      </c>
      <c r="B16" s="4" t="s">
        <v>101</v>
      </c>
      <c r="C16" s="4" t="s">
        <v>87</v>
      </c>
      <c r="D16" s="4">
        <v>63297</v>
      </c>
      <c r="E16" s="6">
        <v>45505</v>
      </c>
      <c r="F16" s="42">
        <f t="shared" si="0"/>
        <v>2024</v>
      </c>
      <c r="G16" s="43">
        <f t="shared" ca="1" si="1"/>
        <v>1</v>
      </c>
      <c r="H16" s="43" t="str">
        <f t="shared" si="2"/>
        <v>Medium</v>
      </c>
    </row>
    <row r="17" spans="1:8" ht="30.75" thickBot="1" x14ac:dyDescent="0.3">
      <c r="A17" s="3">
        <v>3016</v>
      </c>
      <c r="B17" s="4" t="s">
        <v>102</v>
      </c>
      <c r="C17" s="4" t="s">
        <v>84</v>
      </c>
      <c r="D17" s="4">
        <v>114173</v>
      </c>
      <c r="E17" s="6">
        <v>45755</v>
      </c>
      <c r="F17" s="42">
        <f t="shared" si="0"/>
        <v>2025</v>
      </c>
      <c r="G17" s="43">
        <f t="shared" ca="1" si="1"/>
        <v>1</v>
      </c>
      <c r="H17" s="43" t="str">
        <f t="shared" si="2"/>
        <v>High</v>
      </c>
    </row>
    <row r="18" spans="1:8" ht="30.75" thickBot="1" x14ac:dyDescent="0.3">
      <c r="A18" s="3">
        <v>3017</v>
      </c>
      <c r="B18" s="4" t="s">
        <v>103</v>
      </c>
      <c r="C18" s="4" t="s">
        <v>87</v>
      </c>
      <c r="D18" s="4">
        <v>86915</v>
      </c>
      <c r="E18" s="6">
        <v>46005</v>
      </c>
      <c r="F18" s="42">
        <f t="shared" si="0"/>
        <v>2025</v>
      </c>
      <c r="G18" s="43">
        <f t="shared" ca="1" si="1"/>
        <v>0</v>
      </c>
      <c r="H18" s="43" t="str">
        <f t="shared" si="2"/>
        <v>Medium</v>
      </c>
    </row>
    <row r="19" spans="1:8" ht="30.75" thickBot="1" x14ac:dyDescent="0.3">
      <c r="A19" s="3">
        <v>3018</v>
      </c>
      <c r="B19" s="4" t="s">
        <v>104</v>
      </c>
      <c r="C19" s="4" t="s">
        <v>90</v>
      </c>
      <c r="D19" s="4">
        <v>116284</v>
      </c>
      <c r="E19" s="6">
        <v>46255</v>
      </c>
      <c r="F19" s="42">
        <f t="shared" si="0"/>
        <v>2026</v>
      </c>
      <c r="G19" s="43">
        <v>0</v>
      </c>
      <c r="H19" s="43" t="str">
        <f t="shared" si="2"/>
        <v>High</v>
      </c>
    </row>
    <row r="20" spans="1:8" ht="30.75" thickBot="1" x14ac:dyDescent="0.3">
      <c r="A20" s="3">
        <v>3019</v>
      </c>
      <c r="B20" s="4" t="s">
        <v>105</v>
      </c>
      <c r="C20" s="4" t="s">
        <v>93</v>
      </c>
      <c r="D20" s="4">
        <v>116283</v>
      </c>
      <c r="E20" s="6">
        <v>46505</v>
      </c>
      <c r="F20" s="42">
        <f t="shared" si="0"/>
        <v>2027</v>
      </c>
      <c r="G20" s="43">
        <v>0</v>
      </c>
      <c r="H20" s="43" t="str">
        <f t="shared" si="2"/>
        <v>High</v>
      </c>
    </row>
    <row r="21" spans="1:8" ht="30.75" thickBot="1" x14ac:dyDescent="0.3">
      <c r="A21" s="3">
        <v>3020</v>
      </c>
      <c r="B21" s="4" t="s">
        <v>106</v>
      </c>
      <c r="C21" s="4" t="s">
        <v>93</v>
      </c>
      <c r="D21" s="4">
        <v>99924</v>
      </c>
      <c r="E21" s="6">
        <v>46755</v>
      </c>
      <c r="F21" s="43">
        <f t="shared" si="0"/>
        <v>2028</v>
      </c>
      <c r="G21" s="43">
        <v>0</v>
      </c>
      <c r="H21" s="43" t="str">
        <f t="shared" si="2"/>
        <v>Medium</v>
      </c>
    </row>
  </sheetData>
  <mergeCells count="11">
    <mergeCell ref="K9:O9"/>
    <mergeCell ref="K10:M10"/>
    <mergeCell ref="O13:R13"/>
    <mergeCell ref="L1:O1"/>
    <mergeCell ref="L2:O2"/>
    <mergeCell ref="K12:O12"/>
    <mergeCell ref="I3:P3"/>
    <mergeCell ref="J4:P4"/>
    <mergeCell ref="J6:P6"/>
    <mergeCell ref="J5:P5"/>
    <mergeCell ref="J7:P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 </vt:lpstr>
      <vt:lpstr>SALES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LAPPY</dc:creator>
  <cp:lastModifiedBy>DELL LAPPY</cp:lastModifiedBy>
  <dcterms:created xsi:type="dcterms:W3CDTF">2026-04-10T15:40:16Z</dcterms:created>
  <dcterms:modified xsi:type="dcterms:W3CDTF">2026-04-15T13:35:52Z</dcterms:modified>
</cp:coreProperties>
</file>